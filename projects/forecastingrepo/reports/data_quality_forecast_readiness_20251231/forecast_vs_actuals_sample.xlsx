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harts" sheetId="2" state="visible" r:id="rId4"/>
    <sheet name="Forecast" sheetId="3" state="visible" r:id="rId5"/>
    <sheet name="Fact" sheetId="4" state="visible" r:id="rId6"/>
    <sheet name="WAPE" sheetId="5" state="visible" r:id="rId7"/>
    <sheet name="Assump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<sst xmlns="http://schemas.openxmlformats.org/spreadsheetml/2006/main" count="58" uniqueCount="38">
  <si>
    <t xml:space="preserve">Образец: Прогноз vs Факт (WAPE)</t>
  </si>
  <si>
    <t xml:space="preserve">Листы:</t>
  </si>
  <si>
    <t xml:space="preserve">1) Forecast: вставьте/замените значения прогноза (колонки B..).</t>
  </si>
  <si>
    <t xml:space="preserve">2) Fact: вставьте фактические значения. В образце факт строится из Forecast через Assumptions.</t>
  </si>
  <si>
    <t xml:space="preserve">3) WAPE: общий WAPE (только формулы).</t>
  </si>
  <si>
    <t xml:space="preserve">4) Assumptions: коэффициенты для генерации факта (только для образца).</t>
  </si>
  <si>
    <t xml:space="preserve">5) Charts: пример графика (Forecast vs Fact для строки 2).</t>
  </si>
  <si>
    <t xml:space="preserve">Как использовать с реальными данными:</t>
  </si>
  <si>
    <t xml:space="preserve">A) Импортируйте CSV с разделителем ";" и UTF-8 (см. RU инструкцию).</t>
  </si>
  <si>
    <t xml:space="preserve">B) Вставьте прогноз на лист Forecast (сохраняя заголовки).</t>
  </si>
  <si>
    <t xml:space="preserve">C) Вставьте факт на лист Fact поверх формул (Вставка -&gt; Значения).</t>
  </si>
  <si>
    <t xml:space="preserve">D) Проверьте колонку Match_Check на листе Forecast (OK/MISSING).</t>
  </si>
  <si>
    <t xml:space="preserve">Простой график (вручную):</t>
  </si>
  <si>
    <t xml:space="preserve">1) Выделите заголовки дней Forecast!B1:последний день.</t>
  </si>
  <si>
    <t xml:space="preserve">2) Удерживая Cmd, выделите значения прогноза строки 2.</t>
  </si>
  <si>
    <t xml:space="preserve">3) Вставка -&gt; Линейная диаграмма.</t>
  </si>
  <si>
    <t xml:space="preserve">4) Добавьте серию факта: Выбрать данные -&gt; Добавить -&gt; Fact!B2:последний день.</t>
  </si>
  <si>
    <t xml:space="preserve">Примечание: Excel хранит формулы на английском (SUM, IF) — это нормально.</t>
  </si>
  <si>
    <t xml:space="preserve">Chart uses Forecast row 2 / Fact row 2. Update chart ranges to compare other sites.</t>
  </si>
  <si>
    <t xml:space="preserve">Код КП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</si>
  <si>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</si>
  <si>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</si>
  <si>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</si>
  <si>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</si>
  <si>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</si>
  <si>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Fact_Sum</t>
  </si>
  <si>
    <t xml:space="preserve">Abs_Error</t>
  </si>
  <si>
    <t xml:space="preserve">WAPE</t>
  </si>
  <si>
    <t xml:space="preserve">Match_Check</t>
  </si>
  <si>
    <t xml:space="preserve">38100000</t>
  </si>
  <si>
    <t xml:space="preserve">38100001</t>
  </si>
  <si>
    <t xml:space="preserve">38100002</t>
  </si>
  <si>
    <t xml:space="preserve">38100003</t>
  </si>
  <si>
    <t xml:space="preserve">38100005</t>
  </si>
  <si>
    <t xml:space="preserve">Metric</t>
  </si>
  <si>
    <t xml:space="preserve">Value</t>
  </si>
  <si>
    <t xml:space="preserve">Source: forecast_jun_dec_2025.csv sample subset; generated 2025-12-31</t>
  </si>
  <si>
    <t xml:space="preserve">Factor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</si>
</sst>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8EA5CA"/>
      <rgbColor rgb="FFAA433F"/>
      <rgbColor rgb="FFFFFFCC"/>
      <rgbColor rgb="FFCCFFFF"/>
      <rgbColor rgb="FF660066"/>
      <rgbColor rgb="FFCC8F8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FA6"/>
      <rgbColor rgb="FF33CCCC"/>
      <rgbColor rgb="FF99CC00"/>
      <rgbColor rgb="FFFFCC00"/>
      <rgbColor rgb="FFDB8238"/>
      <rgbColor rgb="FFFF6600"/>
      <rgbColor rgb="FF6F568D"/>
      <rgbColor rgb="FFA596B9"/>
      <rgbColor rgb="FF003366"/>
      <rgbColor rgb="FF3D97A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38100000 Forecast vs Fact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"Forecast"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426fa6"/>
            </a:solidFill>
            <a:ln w="12600">
              <a:solidFill>
                <a:srgbClr val="426fa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Forecast!$B$2</c:f>
              <c:numCache>
                <c:formatCode>0.00</c:formatCode>
                <c:ptCount val="1"/>
                <c:pt idx="0">
                  <c:v>0.110714285714286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"Fact"</c:f>
              <c:strCache>
                <c:ptCount val="1"/>
                <c:pt idx="0">
                  <c:v>Fact</c:v>
                </c:pt>
              </c:strCache>
            </c:strRef>
          </c:tx>
          <c:spPr>
            <a:solidFill>
              <a:srgbClr val="aa433f"/>
            </a:solidFill>
            <a:ln w="1260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Forecast!$C$2</c:f>
              <c:numCache>
                <c:formatCode>0.00</c:formatCode>
                <c:ptCount val="1"/>
                <c:pt idx="0">
                  <c:v>0.221428571428571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87a44b"/>
            </a:solidFill>
            <a:ln w="1260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Forecast!$D$2</c:f>
              <c:numCache>
                <c:formatCode>0.00</c:formatCode>
                <c:ptCount val="1"/>
                <c:pt idx="0">
                  <c:v>0.328571428571429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6f568d"/>
            </a:solidFill>
            <a:ln w="12600">
              <a:solidFill>
                <a:srgbClr val="6f568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Forecast!$E$2</c:f>
              <c:numCache>
                <c:formatCode>0.00</c:formatCode>
                <c:ptCount val="1"/>
                <c:pt idx="0">
                  <c:v>0.439285714285714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3d97af"/>
            </a:solidFill>
            <a:ln w="12600">
              <a:solidFill>
                <a:srgbClr val="3d97a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Forecast!$F$2</c:f>
              <c:numCache>
                <c:formatCode>0.00</c:formatCode>
                <c:ptCount val="1"/>
                <c:pt idx="0">
                  <c:v>0.55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db8238"/>
            </a:solidFill>
            <a:ln w="12600">
              <a:solidFill>
                <a:srgbClr val="db823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Fact!$B$2</c:f>
              <c:numCache>
                <c:formatCode>0.00</c:formatCode>
                <c:ptCount val="1"/>
                <c:pt idx="0">
                  <c:v>0.101857142857143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8ea5ca"/>
            </a:solidFill>
            <a:ln w="1260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Fact!$C$2</c:f>
              <c:numCache>
                <c:formatCode>0.00</c:formatCode>
                <c:ptCount val="1"/>
                <c:pt idx="0">
                  <c:v>0.203714285714286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c8f8e"/>
            </a:solidFill>
            <a:ln w="1260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Fact!$D$2</c:f>
              <c:numCache>
                <c:formatCode>0.00</c:formatCode>
                <c:ptCount val="1"/>
                <c:pt idx="0">
                  <c:v>0.302285714285714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b3c992"/>
            </a:solidFill>
            <a:ln w="1260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Fact!$E$2</c:f>
              <c:numCache>
                <c:formatCode>0.00</c:formatCode>
                <c:ptCount val="1"/>
                <c:pt idx="0">
                  <c:v>0.404142857142857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a596b9"/>
            </a:solidFill>
            <a:ln w="12600">
              <a:solidFill>
                <a:srgbClr val="a596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Forecast!$B$1:$F$1</c:f>
              <c:multiLvlStrCache>
                <c:ptCount val="1"/>
                <c:lvl>
                  <c:pt idx="0">
                    <c:v>5</c:v>
                  </c:pt>
                </c:lvl>
                <c:lvl>
                  <c:pt idx="0">
                    <c:v>4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Fact!$F$2</c:f>
              <c:numCache>
                <c:formatCode>0.00</c:formatCode>
                <c:ptCount val="1"/>
                <c:pt idx="0">
                  <c:v>0.506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277745"/>
        <c:axId val="66797216"/>
      </c:lineChart>
      <c:catAx>
        <c:axId val="622777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797216"/>
        <c:crosses val="autoZero"/>
        <c:auto val="1"/>
        <c:lblAlgn val="ctr"/>
        <c:lblOffset val="100"/>
        <c:noMultiLvlLbl val="0"/>
      </c:catAx>
      <c:valAx>
        <c:axId val="667972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m3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27774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181440</xdr:colOff>
      <xdr:row>22</xdr:row>
      <xdr:rowOff>128520</xdr:rowOff>
    </xdr:to>
    <xdr:graphicFrame>
      <xdr:nvGraphicFramePr>
        <xdr:cNvPr id="1" name="Chart 1"/>
        <xdr:cNvGraphicFramePr/>
      </xdr:nvGraphicFramePr>
      <xdr:xfrm>
        <a:off x="0" y="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" hidden="false" customHeight="false" outlineLevel="0" collapsed="false">
      <c r="A10" s="1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3" customFormat="false" ht="15" hidden="false" customHeight="false" outlineLevel="0" collapsed="false">
      <c r="A13" s="0" t="s">
        <v>10</v>
      </c>
    </row>
    <row r="14" customFormat="false" ht="15" hidden="false" customHeight="false" outlineLevel="0" collapsed="false">
      <c r="A14" s="0" t="s">
        <v>11</v>
      </c>
    </row>
    <row r="16" customFormat="false" ht="15" hidden="false" customHeight="false" outlineLevel="0" collapsed="false">
      <c r="A16" s="1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0" customFormat="false" ht="15" hidden="false" customHeight="false" outlineLevel="0" collapsed="false">
      <c r="A20" s="0" t="s">
        <v>16</v>
      </c>
    </row>
    <row r="22" customFormat="false" ht="15" hidden="false" customHeight="false" outlineLevel="0" collapsed="false">
      <c r="A22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20" customFormat="false" ht="15" hidden="false" customHeight="false" outlineLevel="0" collapsed="false">
      <c r="A20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14"/>
  </cols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customFormat="false" ht="15" hidden="false" customHeight="false" outlineLevel="0" collapsed="false">
      <c r="A2" s="0" t="s">
        <v>29</v>
      </c>
      <c r="B2" s="2" t="n">
        <v>0.110714285714286</v>
      </c>
      <c r="C2" s="2" t="n">
        <v>0.221428571428571</v>
      </c>
      <c r="D2" s="2" t="n">
        <v>0.328571428571429</v>
      </c>
      <c r="E2" s="2" t="n">
        <v>0.439285714285714</v>
      </c>
      <c r="F2" s="2" t="n">
        <v>0.55</v>
      </c>
      <c r="G2" s="2" t="n">
        <f aca="false">SUM(Fact!B2:F2)</f>
        <v>1.518</v>
      </c>
      <c r="H2" s="2" t="n">
        <f aca="false">SUMPRODUCT(ABS(Forecast!B2:F2 - Fact!B2:F2))</f>
        <v>0.132</v>
      </c>
      <c r="I2" s="3" t="n">
        <f aca="false">IF(G2=0, "", H2/G2)</f>
        <v>0.0869565217391304</v>
      </c>
      <c r="J2" s="0" t="str">
        <f aca="false">IF(COUNTIF(Fact!$A:$A, $A2)=1, "OK", "MISSING")</f>
        <v>OK</v>
      </c>
    </row>
    <row r="3" customFormat="false" ht="15" hidden="false" customHeight="false" outlineLevel="0" collapsed="false">
      <c r="A3" s="0" t="s">
        <v>30</v>
      </c>
      <c r="B3" s="2" t="n">
        <v>0.982142857142857</v>
      </c>
      <c r="C3" s="2" t="n">
        <v>1.48849206349206</v>
      </c>
      <c r="D3" s="2" t="n">
        <v>1.99484126984127</v>
      </c>
      <c r="E3" s="2" t="n">
        <v>2.50119047619048</v>
      </c>
      <c r="F3" s="2" t="n">
        <v>3.00753968253968</v>
      </c>
      <c r="G3" s="2" t="n">
        <f aca="false">SUM(Fact!B3:F3)</f>
        <v>9.47549603174603</v>
      </c>
      <c r="H3" s="2" t="n">
        <f aca="false">SUMPRODUCT(ABS(Forecast!B3:F3 - Fact!B3:F3))</f>
        <v>0.498710317460318</v>
      </c>
      <c r="I3" s="3" t="n">
        <f aca="false">IF(G3=0, "", H3/G3)</f>
        <v>0.0526315789473685</v>
      </c>
      <c r="J3" s="0" t="str">
        <f aca="false">IF(COUNTIF(Fact!$A:$A, $A3)=1, "OK", "MISSING")</f>
        <v>OK</v>
      </c>
    </row>
    <row r="4" customFormat="false" ht="15" hidden="false" customHeight="false" outlineLevel="0" collapsed="false">
      <c r="A4" s="0" t="s">
        <v>31</v>
      </c>
      <c r="B4" s="2" t="n">
        <v>12.2131696428571</v>
      </c>
      <c r="C4" s="2" t="n">
        <v>26.0137648809524</v>
      </c>
      <c r="D4" s="2" t="n">
        <v>35.2588045634921</v>
      </c>
      <c r="E4" s="2" t="n">
        <v>44.9274553571429</v>
      </c>
      <c r="F4" s="2" t="n">
        <v>62.9433283730159</v>
      </c>
      <c r="G4" s="2" t="n">
        <f aca="false">SUM(Fact!B4:F4)</f>
        <v>186.797218501984</v>
      </c>
      <c r="H4" s="2" t="n">
        <f aca="false">SUMPRODUCT(ABS(Forecast!B4:F4 - Fact!B4:F4))</f>
        <v>5.44069568452382</v>
      </c>
      <c r="I4" s="3" t="n">
        <f aca="false">IF(G4=0, "", H4/G4)</f>
        <v>0.0291262135922331</v>
      </c>
      <c r="J4" s="0" t="str">
        <f aca="false">IF(COUNTIF(Fact!$A:$A, $A4)=1, "OK", "MISSING")</f>
        <v>OK</v>
      </c>
    </row>
    <row r="5" customFormat="false" ht="15" hidden="false" customHeight="false" outlineLevel="0" collapsed="false">
      <c r="A5" s="0" t="s">
        <v>32</v>
      </c>
      <c r="B5" s="2" t="n">
        <v>2.34375</v>
      </c>
      <c r="C5" s="2" t="n">
        <v>4.6875</v>
      </c>
      <c r="D5" s="2" t="n">
        <v>6.9375</v>
      </c>
      <c r="E5" s="2" t="n">
        <v>8.9296875</v>
      </c>
      <c r="F5" s="2" t="n">
        <v>10.921875</v>
      </c>
      <c r="G5" s="2" t="n">
        <f aca="false">SUM(Fact!B5:F5)</f>
        <v>29.761875</v>
      </c>
      <c r="H5" s="2" t="n">
        <f aca="false">SUMPRODUCT(ABS(Forecast!B5:F5 - Fact!B5:F5))</f>
        <v>4.0584375</v>
      </c>
      <c r="I5" s="3" t="n">
        <f aca="false">IF(G5=0, "", H5/G5)</f>
        <v>0.136363636363636</v>
      </c>
      <c r="J5" s="0" t="str">
        <f aca="false">IF(COUNTIF(Fact!$A:$A, $A5)=1, "OK", "MISSING")</f>
        <v>OK</v>
      </c>
    </row>
    <row r="6" customFormat="false" ht="15" hidden="false" customHeight="false" outlineLevel="0" collapsed="false">
      <c r="A6" s="0" t="s">
        <v>33</v>
      </c>
      <c r="B6" s="2" t="n">
        <v>0.970982142857143</v>
      </c>
      <c r="C6" s="2" t="n">
        <v>1.94196428571429</v>
      </c>
      <c r="D6" s="2" t="n">
        <v>2.89094387755102</v>
      </c>
      <c r="E6" s="2" t="n">
        <v>3.74473852040816</v>
      </c>
      <c r="F6" s="2" t="n">
        <v>4.59853316326531</v>
      </c>
      <c r="G6" s="2" t="n">
        <f aca="false">SUM(Fact!B6:F6)</f>
        <v>14.8545200892857</v>
      </c>
      <c r="H6" s="2" t="n">
        <f aca="false">SUMPRODUCT(ABS(Forecast!B6:F6 - Fact!B6:F6))</f>
        <v>0.707358099489796</v>
      </c>
      <c r="I6" s="3" t="n">
        <f aca="false">IF(G6=0, "", H6/G6)</f>
        <v>0.0476190476190476</v>
      </c>
      <c r="J6" s="0" t="str">
        <f aca="false">IF(COUNTIF(Fact!$A:$A, $A6)=1, "OK", "MISSING")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customFormat="false" ht="15" hidden="false" customHeight="false" outlineLevel="0" collapsed="false">
      <c r="A2" s="0" t="s">
        <v>29</v>
      </c>
      <c r="B2" s="2" t="n">
        <f aca="false">IFERROR(IF(Forecast!B2="", "", Forecast!B2*VLOOKUP($A2,Assumptions!$A:$B,2,FALSE())), "")</f>
        <v>0.101857142857143</v>
      </c>
      <c r="C2" s="2" t="n">
        <f aca="false">IFERROR(IF(Forecast!C2="", "", Forecast!C2*VLOOKUP($A2,Assumptions!$A:$B,2,FALSE())), "")</f>
        <v>0.203714285714286</v>
      </c>
      <c r="D2" s="2" t="n">
        <f aca="false">IFERROR(IF(Forecast!D2="", "", Forecast!D2*VLOOKUP($A2,Assumptions!$A:$B,2,FALSE())), "")</f>
        <v>0.302285714285714</v>
      </c>
      <c r="E2" s="2" t="n">
        <f aca="false">IFERROR(IF(Forecast!E2="", "", Forecast!E2*VLOOKUP($A2,Assumptions!$A:$B,2,FALSE())), "")</f>
        <v>0.404142857142857</v>
      </c>
      <c r="F2" s="2" t="n">
        <f aca="false">IFERROR(IF(Forecast!F2="", "", Forecast!F2*VLOOKUP($A2,Assumptions!$A:$B,2,FALSE())), "")</f>
        <v>0.506</v>
      </c>
    </row>
    <row r="3" customFormat="false" ht="15" hidden="false" customHeight="false" outlineLevel="0" collapsed="false">
      <c r="A3" s="0" t="s">
        <v>30</v>
      </c>
      <c r="B3" s="2" t="n">
        <f aca="false">IFERROR(IF(Forecast!B3="", "", Forecast!B3*VLOOKUP($A3,Assumptions!$A:$B,2,FALSE())), "")</f>
        <v>0.933035714285714</v>
      </c>
      <c r="C3" s="2" t="n">
        <f aca="false">IFERROR(IF(Forecast!C3="", "", Forecast!C3*VLOOKUP($A3,Assumptions!$A:$B,2,FALSE())), "")</f>
        <v>1.41406746031746</v>
      </c>
      <c r="D3" s="2" t="n">
        <f aca="false">IFERROR(IF(Forecast!D3="", "", Forecast!D3*VLOOKUP($A3,Assumptions!$A:$B,2,FALSE())), "")</f>
        <v>1.89509920634921</v>
      </c>
      <c r="E3" s="2" t="n">
        <f aca="false">IFERROR(IF(Forecast!E3="", "", Forecast!E3*VLOOKUP($A3,Assumptions!$A:$B,2,FALSE())), "")</f>
        <v>2.37613095238095</v>
      </c>
      <c r="F3" s="2" t="n">
        <f aca="false">IFERROR(IF(Forecast!F3="", "", Forecast!F3*VLOOKUP($A3,Assumptions!$A:$B,2,FALSE())), "")</f>
        <v>2.8571626984127</v>
      </c>
    </row>
    <row r="4" customFormat="false" ht="15" hidden="false" customHeight="false" outlineLevel="0" collapsed="false">
      <c r="A4" s="0" t="s">
        <v>31</v>
      </c>
      <c r="B4" s="2" t="n">
        <f aca="false">IFERROR(IF(Forecast!B4="", "", Forecast!B4*VLOOKUP($A4,Assumptions!$A:$B,2,FALSE())), "")</f>
        <v>12.5795647321429</v>
      </c>
      <c r="C4" s="2" t="n">
        <f aca="false">IFERROR(IF(Forecast!C4="", "", Forecast!C4*VLOOKUP($A4,Assumptions!$A:$B,2,FALSE())), "")</f>
        <v>26.794177827381</v>
      </c>
      <c r="D4" s="2" t="n">
        <f aca="false">IFERROR(IF(Forecast!D4="", "", Forecast!D4*VLOOKUP($A4,Assumptions!$A:$B,2,FALSE())), "")</f>
        <v>36.3165687003968</v>
      </c>
      <c r="E4" s="2" t="n">
        <f aca="false">IFERROR(IF(Forecast!E4="", "", Forecast!E4*VLOOKUP($A4,Assumptions!$A:$B,2,FALSE())), "")</f>
        <v>46.2752790178571</v>
      </c>
      <c r="F4" s="2" t="n">
        <f aca="false">IFERROR(IF(Forecast!F4="", "", Forecast!F4*VLOOKUP($A4,Assumptions!$A:$B,2,FALSE())), "")</f>
        <v>64.8316282242064</v>
      </c>
    </row>
    <row r="5" customFormat="false" ht="15" hidden="false" customHeight="false" outlineLevel="0" collapsed="false">
      <c r="A5" s="0" t="s">
        <v>32</v>
      </c>
      <c r="B5" s="2" t="n">
        <f aca="false">IFERROR(IF(Forecast!B5="", "", Forecast!B5*VLOOKUP($A5,Assumptions!$A:$B,2,FALSE())), "")</f>
        <v>2.0625</v>
      </c>
      <c r="C5" s="2" t="n">
        <f aca="false">IFERROR(IF(Forecast!C5="", "", Forecast!C5*VLOOKUP($A5,Assumptions!$A:$B,2,FALSE())), "")</f>
        <v>4.125</v>
      </c>
      <c r="D5" s="2" t="n">
        <f aca="false">IFERROR(IF(Forecast!D5="", "", Forecast!D5*VLOOKUP($A5,Assumptions!$A:$B,2,FALSE())), "")</f>
        <v>6.105</v>
      </c>
      <c r="E5" s="2" t="n">
        <f aca="false">IFERROR(IF(Forecast!E5="", "", Forecast!E5*VLOOKUP($A5,Assumptions!$A:$B,2,FALSE())), "")</f>
        <v>7.858125</v>
      </c>
      <c r="F5" s="2" t="n">
        <f aca="false">IFERROR(IF(Forecast!F5="", "", Forecast!F5*VLOOKUP($A5,Assumptions!$A:$B,2,FALSE())), "")</f>
        <v>9.61125</v>
      </c>
    </row>
    <row r="6" customFormat="false" ht="15" hidden="false" customHeight="false" outlineLevel="0" collapsed="false">
      <c r="A6" s="0" t="s">
        <v>33</v>
      </c>
      <c r="B6" s="2" t="n">
        <f aca="false">IFERROR(IF(Forecast!B6="", "", Forecast!B6*VLOOKUP($A6,Assumptions!$A:$B,2,FALSE())), "")</f>
        <v>1.01953125</v>
      </c>
      <c r="C6" s="2" t="n">
        <f aca="false">IFERROR(IF(Forecast!C6="", "", Forecast!C6*VLOOKUP($A6,Assumptions!$A:$B,2,FALSE())), "")</f>
        <v>2.0390625</v>
      </c>
      <c r="D6" s="2" t="n">
        <f aca="false">IFERROR(IF(Forecast!D6="", "", Forecast!D6*VLOOKUP($A6,Assumptions!$A:$B,2,FALSE())), "")</f>
        <v>3.03549107142857</v>
      </c>
      <c r="E6" s="2" t="n">
        <f aca="false">IFERROR(IF(Forecast!E6="", "", Forecast!E6*VLOOKUP($A6,Assumptions!$A:$B,2,FALSE())), "")</f>
        <v>3.93197544642857</v>
      </c>
      <c r="F6" s="2" t="n">
        <f aca="false">IFERROR(IF(Forecast!F6="", "", Forecast!F6*VLOOKUP($A6,Assumptions!$A:$B,2,FALSE())), "")</f>
        <v>4.82845982142857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</cols>
  <sheetData>
    <row r="1" customFormat="false" ht="15" hidden="false" customHeight="false" outlineLevel="0" collapsed="false">
      <c r="A1" s="1" t="s">
        <v>34</v>
      </c>
      <c r="B1" s="1" t="s">
        <v>35</v>
      </c>
    </row>
    <row r="2" customFormat="false" ht="15" hidden="false" customHeight="false" outlineLevel="0" collapsed="false">
      <c r="A2" s="0" t="s">
        <v>25</v>
      </c>
      <c r="B2" s="2" t="n">
        <f aca="false">SUM(Fact!B2:F6)</f>
        <v>242.407109623016</v>
      </c>
    </row>
    <row r="3" customFormat="false" ht="15" hidden="false" customHeight="false" outlineLevel="0" collapsed="false">
      <c r="A3" s="0" t="s">
        <v>26</v>
      </c>
      <c r="B3" s="2" t="n">
        <f aca="false">SUMPRODUCT(ABS(Forecast!B2:F6 - Fact!B2:F6))</f>
        <v>10.8372016014739</v>
      </c>
    </row>
    <row r="4" customFormat="false" ht="15" hidden="false" customHeight="false" outlineLevel="0" collapsed="false">
      <c r="A4" s="0" t="s">
        <v>27</v>
      </c>
      <c r="B4" s="3" t="n">
        <f aca="false">IF(B2=0, "", B3/B2)</f>
        <v>0.0447066161480479</v>
      </c>
    </row>
    <row r="6" customFormat="false" ht="15" hidden="false" customHeight="false" outlineLevel="0" collapsed="false">
      <c r="A6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19</v>
      </c>
      <c r="B1" s="1" t="s">
        <v>37</v>
      </c>
    </row>
    <row r="2" customFormat="false" ht="15" hidden="false" customHeight="false" outlineLevel="0" collapsed="false">
      <c r="A2" s="0" t="s">
        <v>29</v>
      </c>
      <c r="B2" s="2" t="n">
        <v>0.92</v>
      </c>
    </row>
    <row r="3" customFormat="false" ht="15" hidden="false" customHeight="false" outlineLevel="0" collapsed="false">
      <c r="A3" s="0" t="s">
        <v>30</v>
      </c>
      <c r="B3" s="2" t="n">
        <v>0.95</v>
      </c>
    </row>
    <row r="4" customFormat="false" ht="15" hidden="false" customHeight="false" outlineLevel="0" collapsed="false">
      <c r="A4" s="0" t="s">
        <v>31</v>
      </c>
      <c r="B4" s="2" t="n">
        <v>1.03</v>
      </c>
    </row>
    <row r="5" customFormat="false" ht="15" hidden="false" customHeight="false" outlineLevel="0" collapsed="false">
      <c r="A5" s="0" t="s">
        <v>32</v>
      </c>
      <c r="B5" s="2" t="n">
        <v>0.88</v>
      </c>
    </row>
    <row r="6" customFormat="false" ht="15" hidden="false" customHeight="false" outlineLevel="0" collapsed="false">
      <c r="A6" s="0" t="s">
        <v>33</v>
      </c>
      <c r="B6" s="2" t="n">
        <v>1.05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2025-12-30T22:33:00Z</dcterms:created>
  <dc:creator>openpyxl</dc:creator>
  <dc:description/>
  <dc:language>en-GB</dc:language>
  <cp:lastModifiedBy/>
  <dcterms:modified xsi:type="dcterms:W3CDTF">2025-12-31T06:59:56Z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